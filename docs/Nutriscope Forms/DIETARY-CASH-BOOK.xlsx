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cffd9814e37be52/Desktop/Marketing Files/Marketing 2026/"/>
    </mc:Choice>
  </mc:AlternateContent>
  <xr:revisionPtr revIDLastSave="0" documentId="8_{B4DB462D-2077-174F-A632-D1BA12961CC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JANUARY" sheetId="1" r:id="rId1"/>
    <sheet name="FEBRUARY" sheetId="14" r:id="rId2"/>
    <sheet name="MARCH" sheetId="13" r:id="rId3"/>
    <sheet name="APRIL" sheetId="12" r:id="rId4"/>
    <sheet name="MAY" sheetId="11" r:id="rId5"/>
    <sheet name="JUNE" sheetId="8" r:id="rId6"/>
    <sheet name="JULY" sheetId="10" r:id="rId7"/>
    <sheet name="AUGUST" sheetId="9" r:id="rId8"/>
    <sheet name="SEPTEMBER" sheetId="7" r:id="rId9"/>
    <sheet name="OCTOBER" sheetId="6" r:id="rId10"/>
    <sheet name="NOVEMBER" sheetId="5" r:id="rId11"/>
    <sheet name="DECEMBER" sheetId="4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8" l="1"/>
  <c r="G25" i="8"/>
  <c r="G26" i="8"/>
  <c r="G83" i="11"/>
  <c r="G82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F84" i="11"/>
  <c r="E84" i="11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E9" i="12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E9" i="13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E9" i="14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E9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E9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E9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E9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E9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</calcChain>
</file>

<file path=xl/sharedStrings.xml><?xml version="1.0" encoding="utf-8"?>
<sst xmlns="http://schemas.openxmlformats.org/spreadsheetml/2006/main" count="399" uniqueCount="43">
  <si>
    <t>CASH DISBURSEMENT RECORD</t>
  </si>
  <si>
    <t>ROMANA PANGAN DISTRICT HOSPITAL</t>
  </si>
  <si>
    <t>(Agency)</t>
  </si>
  <si>
    <t>ELAINE JUSTINA L. ABRIOL</t>
  </si>
  <si>
    <t>Nutritionist-Dietitian II</t>
  </si>
  <si>
    <t>Nutrition and Dietetics Service</t>
  </si>
  <si>
    <t>Accountable Officer</t>
  </si>
  <si>
    <t>Official Designation</t>
  </si>
  <si>
    <t>Station</t>
  </si>
  <si>
    <t>Date</t>
  </si>
  <si>
    <t>Reference No./O.R. No/Check No.</t>
  </si>
  <si>
    <t>Name of Payee</t>
  </si>
  <si>
    <t>Nature of Payment (Short Description)</t>
  </si>
  <si>
    <t>Cash Advance Received/ Replenishment</t>
  </si>
  <si>
    <t>Disbursements</t>
  </si>
  <si>
    <t>Cash Advance Balance</t>
  </si>
  <si>
    <t>Beginning Balance</t>
  </si>
  <si>
    <t>Ending Balance</t>
  </si>
  <si>
    <t>Balance Forwared</t>
  </si>
  <si>
    <t>Elaine Justina L. Abriol</t>
  </si>
  <si>
    <t>Replenishment</t>
  </si>
  <si>
    <t>Gloria T.M. Gen. Mdse …</t>
  </si>
  <si>
    <t>assorted vegetables</t>
  </si>
  <si>
    <t>MACMA Trading</t>
  </si>
  <si>
    <t>meat</t>
  </si>
  <si>
    <t>RPDH-MPC</t>
  </si>
  <si>
    <t>groceries</t>
  </si>
  <si>
    <t>roll bag</t>
  </si>
  <si>
    <t>SAMEJ Rice Store and Gen..</t>
  </si>
  <si>
    <t>rice</t>
  </si>
  <si>
    <t>Lolita R. Cayanan</t>
  </si>
  <si>
    <t>saba</t>
  </si>
  <si>
    <t>paper meal box</t>
  </si>
  <si>
    <t>Elaine Justina L Abriol</t>
  </si>
  <si>
    <t>LPG</t>
  </si>
  <si>
    <t>meat assorted</t>
  </si>
  <si>
    <t>replenishment</t>
  </si>
  <si>
    <t>vegetables, assorted</t>
  </si>
  <si>
    <t>meat, assorted</t>
  </si>
  <si>
    <t>Jay M. Torres</t>
  </si>
  <si>
    <t>ripe mango</t>
  </si>
  <si>
    <t>munggo</t>
  </si>
  <si>
    <t>Jennilyn Agojo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</si>
</sst>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0"/>
      <color rgb="FF00000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164" fontId="0" fillId="0" borderId="0" xfId="1" applyFont="1"/>
    <xf numFmtId="0" fontId="3" fillId="0" borderId="0" xfId="0" applyFont="1" applyAlignment="1">
      <alignment horizontal="center" vertical="center" readingOrder="1"/>
    </xf>
    <xf numFmtId="164" fontId="3" fillId="0" borderId="0" xfId="1" applyFont="1" applyAlignment="1">
      <alignment horizontal="center" vertical="center" readingOrder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1" fillId="0" borderId="8" xfId="1" applyFont="1" applyBorder="1" applyAlignment="1">
      <alignment horizontal="center" vertical="center" wrapText="1"/>
    </xf>
    <xf numFmtId="164" fontId="1" fillId="0" borderId="9" xfId="1" applyFont="1" applyBorder="1" applyAlignment="1">
      <alignment horizontal="center" vertical="center" wrapText="1"/>
    </xf>
    <xf numFmtId="14" fontId="0" fillId="0" borderId="10" xfId="0" applyNumberFormat="1" applyBorder="1"/>
    <xf numFmtId="0" fontId="0" fillId="0" borderId="10" xfId="0" applyBorder="1"/>
    <xf numFmtId="164" fontId="0" fillId="0" borderId="10" xfId="1" applyFont="1" applyBorder="1"/>
    <xf numFmtId="14" fontId="0" fillId="0" borderId="11" xfId="0" applyNumberFormat="1" applyBorder="1"/>
    <xf numFmtId="0" fontId="0" fillId="0" borderId="11" xfId="0" applyBorder="1"/>
    <xf numFmtId="164" fontId="0" fillId="0" borderId="11" xfId="1" applyFont="1" applyBorder="1"/>
    <xf numFmtId="164" fontId="0" fillId="0" borderId="12" xfId="1" applyFont="1" applyBorder="1"/>
    <xf numFmtId="0" fontId="0" fillId="0" borderId="1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0" borderId="6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1" applyFont="1" applyBorder="1" applyAlignment="1">
      <alignment horizontal="center"/>
    </xf>
    <xf numFmtId="164" fontId="1" fillId="0" borderId="3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A3" sqref="A3:G3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16</v>
      </c>
      <c r="E9" s="13"/>
      <c r="F9" s="13"/>
      <c r="G9" s="13">
        <f>E9</f>
        <v>0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0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0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0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0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0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0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0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0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0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0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0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0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0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0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0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0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0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0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0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0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0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0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0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0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0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0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0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0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0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0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0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0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0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0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0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0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0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0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0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G9" sqref="G9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JANUARY!G48</f>
        <v>0</v>
      </c>
      <c r="F9" s="13"/>
      <c r="G9" s="13">
        <f>E9</f>
        <v>0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0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0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0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0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0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0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0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0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0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0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0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0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0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0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0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0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0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0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0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0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0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0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0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0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0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0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0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0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0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0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0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0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0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0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0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0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0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0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0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selection activeCell="E12" sqref="E12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FEBRUARY!G48</f>
        <v>0</v>
      </c>
      <c r="F9" s="13"/>
      <c r="G9" s="13">
        <f>E9</f>
        <v>0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0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0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0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0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0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0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0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0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0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0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0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0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0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0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0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0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0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0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0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0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0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0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0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0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0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0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0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0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0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0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0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0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0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0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0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0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0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0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0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workbookViewId="0">
      <selection activeCell="C14" sqref="C14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MARCH!G48</f>
        <v>0</v>
      </c>
      <c r="F9" s="13"/>
      <c r="G9" s="13">
        <f>E9</f>
        <v>0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0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0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0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0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0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0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0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0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0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0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0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0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0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0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0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0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0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0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0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0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0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0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0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0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0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0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0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0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0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0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0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0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0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0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0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0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0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0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0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4"/>
  <sheetViews>
    <sheetView workbookViewId="0">
      <selection activeCell="C12" sqref="C12:D14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27.17187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>
        <v>46143</v>
      </c>
      <c r="B9" s="12"/>
      <c r="C9" s="12"/>
      <c r="D9" s="12" t="s">
        <v>18</v>
      </c>
      <c r="E9" s="13">
        <v>18930</v>
      </c>
      <c r="F9" s="13"/>
      <c r="G9" s="16">
        <f>E9</f>
        <v>18930</v>
      </c>
    </row>
    <row r="10" spans="1:7" x14ac:dyDescent="0.2">
      <c r="A10" s="14"/>
      <c r="B10" s="15">
        <v>3539721</v>
      </c>
      <c r="C10" s="15" t="s">
        <v>19</v>
      </c>
      <c r="D10" s="15" t="s">
        <v>20</v>
      </c>
      <c r="E10" s="16">
        <v>55025</v>
      </c>
      <c r="F10" s="16"/>
      <c r="G10" s="16">
        <f t="shared" ref="G10:G61" si="0">G9+E10-F10</f>
        <v>73955</v>
      </c>
    </row>
    <row r="11" spans="1:7" x14ac:dyDescent="0.2">
      <c r="A11" s="14"/>
      <c r="B11" s="15">
        <v>3539728</v>
      </c>
      <c r="C11" s="15" t="s">
        <v>19</v>
      </c>
      <c r="D11" s="15" t="s">
        <v>20</v>
      </c>
      <c r="E11" s="16">
        <v>64893</v>
      </c>
      <c r="F11" s="16"/>
      <c r="G11" s="16">
        <f t="shared" si="0"/>
        <v>138848</v>
      </c>
    </row>
    <row r="12" spans="1:7" x14ac:dyDescent="0.2">
      <c r="A12" s="14"/>
      <c r="B12" s="15">
        <v>2918</v>
      </c>
      <c r="C12" s="15" t="s">
        <v>21</v>
      </c>
      <c r="D12" s="15" t="s">
        <v>22</v>
      </c>
      <c r="E12" s="16"/>
      <c r="F12" s="16">
        <v>6015</v>
      </c>
      <c r="G12" s="16">
        <f t="shared" si="0"/>
        <v>132833</v>
      </c>
    </row>
    <row r="13" spans="1:7" x14ac:dyDescent="0.2">
      <c r="A13" s="14"/>
      <c r="B13" s="15">
        <v>3118</v>
      </c>
      <c r="C13" s="15" t="s">
        <v>23</v>
      </c>
      <c r="D13" s="15" t="s">
        <v>24</v>
      </c>
      <c r="E13" s="16"/>
      <c r="F13" s="16">
        <v>14120</v>
      </c>
      <c r="G13" s="16">
        <f t="shared" si="0"/>
        <v>118713</v>
      </c>
    </row>
    <row r="14" spans="1:7" x14ac:dyDescent="0.2">
      <c r="A14" s="14"/>
      <c r="B14" s="15">
        <v>3119</v>
      </c>
      <c r="C14" s="15" t="s">
        <v>23</v>
      </c>
      <c r="D14" s="15" t="s">
        <v>24</v>
      </c>
      <c r="E14" s="16"/>
      <c r="F14" s="16">
        <v>14580</v>
      </c>
      <c r="G14" s="16">
        <f t="shared" si="0"/>
        <v>104133</v>
      </c>
    </row>
    <row r="15" spans="1:7" x14ac:dyDescent="0.2">
      <c r="A15" s="14"/>
      <c r="B15" s="15">
        <v>3120</v>
      </c>
      <c r="C15" s="15" t="s">
        <v>23</v>
      </c>
      <c r="D15" s="15" t="s">
        <v>24</v>
      </c>
      <c r="E15" s="16"/>
      <c r="F15" s="16">
        <v>11760</v>
      </c>
      <c r="G15" s="16">
        <f t="shared" si="0"/>
        <v>92373</v>
      </c>
    </row>
    <row r="16" spans="1:7" x14ac:dyDescent="0.2">
      <c r="A16" s="14"/>
      <c r="B16" s="15">
        <v>1371</v>
      </c>
      <c r="C16" s="15" t="s">
        <v>25</v>
      </c>
      <c r="D16" s="15" t="s">
        <v>26</v>
      </c>
      <c r="E16" s="16"/>
      <c r="F16" s="16">
        <v>7785</v>
      </c>
      <c r="G16" s="16">
        <f t="shared" si="0"/>
        <v>84588</v>
      </c>
    </row>
    <row r="17" spans="1:7" x14ac:dyDescent="0.2">
      <c r="A17" s="14"/>
      <c r="B17" s="15">
        <v>1372</v>
      </c>
      <c r="C17" s="15" t="s">
        <v>25</v>
      </c>
      <c r="D17" s="15" t="s">
        <v>26</v>
      </c>
      <c r="E17" s="16"/>
      <c r="F17" s="16">
        <v>6215</v>
      </c>
      <c r="G17" s="16">
        <f t="shared" si="0"/>
        <v>78373</v>
      </c>
    </row>
    <row r="18" spans="1:7" x14ac:dyDescent="0.2">
      <c r="A18" s="14"/>
      <c r="B18" s="15">
        <v>1373</v>
      </c>
      <c r="C18" s="15" t="s">
        <v>25</v>
      </c>
      <c r="D18" s="15" t="s">
        <v>26</v>
      </c>
      <c r="E18" s="16"/>
      <c r="F18" s="16">
        <v>2805</v>
      </c>
      <c r="G18" s="16">
        <f t="shared" si="0"/>
        <v>75568</v>
      </c>
    </row>
    <row r="19" spans="1:7" x14ac:dyDescent="0.2">
      <c r="A19" s="14"/>
      <c r="B19" s="15">
        <v>1374</v>
      </c>
      <c r="C19" s="15" t="s">
        <v>25</v>
      </c>
      <c r="D19" s="15" t="s">
        <v>27</v>
      </c>
      <c r="E19" s="16"/>
      <c r="F19" s="16">
        <v>780</v>
      </c>
      <c r="G19" s="16">
        <f t="shared" si="0"/>
        <v>74788</v>
      </c>
    </row>
    <row r="20" spans="1:7" x14ac:dyDescent="0.2">
      <c r="A20" s="14"/>
      <c r="B20" s="15">
        <v>1283</v>
      </c>
      <c r="C20" s="15" t="s">
        <v>28</v>
      </c>
      <c r="D20" s="15" t="s">
        <v>29</v>
      </c>
      <c r="E20" s="16"/>
      <c r="F20" s="16">
        <v>8460</v>
      </c>
      <c r="G20" s="16">
        <f t="shared" si="0"/>
        <v>66328</v>
      </c>
    </row>
    <row r="21" spans="1:7" x14ac:dyDescent="0.2">
      <c r="A21" s="14"/>
      <c r="B21" s="15">
        <v>35</v>
      </c>
      <c r="C21" s="15" t="s">
        <v>30</v>
      </c>
      <c r="D21" s="15" t="s">
        <v>31</v>
      </c>
      <c r="E21" s="16"/>
      <c r="F21" s="16">
        <v>1000</v>
      </c>
      <c r="G21" s="16">
        <f t="shared" si="0"/>
        <v>65328</v>
      </c>
    </row>
    <row r="22" spans="1:7" x14ac:dyDescent="0.2">
      <c r="A22" s="14"/>
      <c r="B22" s="15">
        <v>569</v>
      </c>
      <c r="C22" s="15" t="s">
        <v>28</v>
      </c>
      <c r="D22" s="15" t="s">
        <v>32</v>
      </c>
      <c r="E22" s="16"/>
      <c r="F22" s="16">
        <v>14400</v>
      </c>
      <c r="G22" s="16">
        <f t="shared" si="0"/>
        <v>50928</v>
      </c>
    </row>
    <row r="23" spans="1:7" x14ac:dyDescent="0.2">
      <c r="A23" s="14">
        <v>46150</v>
      </c>
      <c r="B23" s="15">
        <v>3539731</v>
      </c>
      <c r="C23" s="15" t="s">
        <v>33</v>
      </c>
      <c r="D23" s="15" t="s">
        <v>20</v>
      </c>
      <c r="E23" s="16">
        <v>70058</v>
      </c>
      <c r="F23" s="16"/>
      <c r="G23" s="16">
        <f t="shared" si="0"/>
        <v>120986</v>
      </c>
    </row>
    <row r="24" spans="1:7" x14ac:dyDescent="0.2">
      <c r="A24" s="14"/>
      <c r="B24" s="15">
        <v>2924</v>
      </c>
      <c r="C24" s="15" t="s">
        <v>21</v>
      </c>
      <c r="D24" s="15" t="s">
        <v>22</v>
      </c>
      <c r="E24" s="16"/>
      <c r="F24" s="15">
        <v>6805</v>
      </c>
      <c r="G24" s="16">
        <f t="shared" si="0"/>
        <v>114181</v>
      </c>
    </row>
    <row r="25" spans="1:7" x14ac:dyDescent="0.2">
      <c r="A25" s="14"/>
      <c r="B25" s="15">
        <v>3128</v>
      </c>
      <c r="C25" s="15" t="s">
        <v>23</v>
      </c>
      <c r="D25" s="15" t="s">
        <v>24</v>
      </c>
      <c r="E25" s="16"/>
      <c r="F25" s="16">
        <v>14490</v>
      </c>
      <c r="G25" s="16">
        <f t="shared" si="0"/>
        <v>99691</v>
      </c>
    </row>
    <row r="26" spans="1:7" x14ac:dyDescent="0.2">
      <c r="A26" s="14"/>
      <c r="B26" s="15">
        <v>3129</v>
      </c>
      <c r="C26" s="15" t="s">
        <v>23</v>
      </c>
      <c r="D26" s="15" t="s">
        <v>24</v>
      </c>
      <c r="E26" s="16"/>
      <c r="F26" s="16">
        <v>13200</v>
      </c>
      <c r="G26" s="16">
        <f t="shared" si="0"/>
        <v>86491</v>
      </c>
    </row>
    <row r="27" spans="1:7" x14ac:dyDescent="0.2">
      <c r="A27" s="14"/>
      <c r="B27" s="15">
        <v>3130</v>
      </c>
      <c r="C27" s="15" t="s">
        <v>23</v>
      </c>
      <c r="D27" s="15" t="s">
        <v>24</v>
      </c>
      <c r="E27" s="16"/>
      <c r="F27" s="16">
        <v>11340</v>
      </c>
      <c r="G27" s="16">
        <f t="shared" si="0"/>
        <v>75151</v>
      </c>
    </row>
    <row r="28" spans="1:7" x14ac:dyDescent="0.2">
      <c r="A28" s="14"/>
      <c r="B28" s="15">
        <v>1378</v>
      </c>
      <c r="C28" s="15" t="s">
        <v>25</v>
      </c>
      <c r="D28" s="15" t="s">
        <v>26</v>
      </c>
      <c r="E28" s="16"/>
      <c r="F28" s="16">
        <v>7418</v>
      </c>
      <c r="G28" s="16">
        <f t="shared" si="0"/>
        <v>67733</v>
      </c>
    </row>
    <row r="29" spans="1:7" x14ac:dyDescent="0.2">
      <c r="A29" s="14"/>
      <c r="B29" s="15">
        <v>1379</v>
      </c>
      <c r="C29" s="15" t="s">
        <v>25</v>
      </c>
      <c r="D29" s="15" t="s">
        <v>26</v>
      </c>
      <c r="E29" s="16"/>
      <c r="F29" s="16">
        <v>5135</v>
      </c>
      <c r="G29" s="16">
        <f t="shared" si="0"/>
        <v>62598</v>
      </c>
    </row>
    <row r="30" spans="1:7" x14ac:dyDescent="0.2">
      <c r="A30" s="14"/>
      <c r="B30" s="15">
        <v>1380</v>
      </c>
      <c r="C30" s="15" t="s">
        <v>25</v>
      </c>
      <c r="D30" s="15" t="s">
        <v>27</v>
      </c>
      <c r="E30" s="16"/>
      <c r="F30" s="16">
        <v>390</v>
      </c>
      <c r="G30" s="16">
        <f t="shared" si="0"/>
        <v>62208</v>
      </c>
    </row>
    <row r="31" spans="1:7" x14ac:dyDescent="0.2">
      <c r="A31" s="14"/>
      <c r="B31" s="15">
        <v>1285</v>
      </c>
      <c r="C31" s="15" t="s">
        <v>28</v>
      </c>
      <c r="D31" s="15" t="s">
        <v>29</v>
      </c>
      <c r="E31" s="16"/>
      <c r="F31" s="16">
        <v>5640</v>
      </c>
      <c r="G31" s="16">
        <f t="shared" si="0"/>
        <v>56568</v>
      </c>
    </row>
    <row r="32" spans="1:7" x14ac:dyDescent="0.2">
      <c r="A32" s="14"/>
      <c r="B32" s="15">
        <v>37</v>
      </c>
      <c r="C32" s="15" t="s">
        <v>30</v>
      </c>
      <c r="D32" s="15" t="s">
        <v>31</v>
      </c>
      <c r="E32" s="16"/>
      <c r="F32" s="16">
        <v>1000</v>
      </c>
      <c r="G32" s="16">
        <f t="shared" si="0"/>
        <v>55568</v>
      </c>
    </row>
    <row r="33" spans="1:7" x14ac:dyDescent="0.2">
      <c r="A33" s="14"/>
      <c r="B33" s="15">
        <v>1381</v>
      </c>
      <c r="C33" s="15" t="s">
        <v>25</v>
      </c>
      <c r="D33" s="15" t="s">
        <v>34</v>
      </c>
      <c r="E33" s="16"/>
      <c r="F33" s="16">
        <v>8500</v>
      </c>
      <c r="G33" s="16">
        <f t="shared" si="0"/>
        <v>47068</v>
      </c>
    </row>
    <row r="34" spans="1:7" x14ac:dyDescent="0.2">
      <c r="A34" s="14">
        <v>46154</v>
      </c>
      <c r="B34" s="15">
        <v>2928</v>
      </c>
      <c r="C34" s="15" t="s">
        <v>21</v>
      </c>
      <c r="D34" s="15" t="s">
        <v>22</v>
      </c>
      <c r="E34" s="16"/>
      <c r="F34" s="16">
        <v>5670</v>
      </c>
      <c r="G34" s="16">
        <f t="shared" si="0"/>
        <v>41398</v>
      </c>
    </row>
    <row r="35" spans="1:7" x14ac:dyDescent="0.2">
      <c r="A35" s="14"/>
      <c r="B35" s="15">
        <v>3132</v>
      </c>
      <c r="C35" s="15" t="s">
        <v>23</v>
      </c>
      <c r="D35" s="15" t="s">
        <v>35</v>
      </c>
      <c r="E35" s="16"/>
      <c r="F35" s="16">
        <v>11760</v>
      </c>
      <c r="G35" s="16">
        <f t="shared" si="0"/>
        <v>29638</v>
      </c>
    </row>
    <row r="36" spans="1:7" x14ac:dyDescent="0.2">
      <c r="A36" s="14"/>
      <c r="B36" s="15">
        <v>3133</v>
      </c>
      <c r="C36" s="15" t="s">
        <v>23</v>
      </c>
      <c r="D36" s="15" t="s">
        <v>35</v>
      </c>
      <c r="E36" s="16"/>
      <c r="F36" s="16">
        <v>7920</v>
      </c>
      <c r="G36" s="16">
        <f t="shared" si="0"/>
        <v>21718</v>
      </c>
    </row>
    <row r="37" spans="1:7" x14ac:dyDescent="0.2">
      <c r="A37" s="14"/>
      <c r="B37" s="15">
        <v>1382</v>
      </c>
      <c r="C37" s="15" t="s">
        <v>25</v>
      </c>
      <c r="D37" s="15" t="s">
        <v>26</v>
      </c>
      <c r="E37" s="16"/>
      <c r="F37" s="16">
        <v>6600</v>
      </c>
      <c r="G37" s="16">
        <f t="shared" si="0"/>
        <v>15118</v>
      </c>
    </row>
    <row r="38" spans="1:7" x14ac:dyDescent="0.2">
      <c r="A38" s="14"/>
      <c r="B38" s="15">
        <v>1383</v>
      </c>
      <c r="C38" s="15" t="s">
        <v>25</v>
      </c>
      <c r="D38" s="15" t="s">
        <v>26</v>
      </c>
      <c r="E38" s="16"/>
      <c r="F38" s="16">
        <v>1420</v>
      </c>
      <c r="G38" s="16">
        <f t="shared" si="0"/>
        <v>13698</v>
      </c>
    </row>
    <row r="39" spans="1:7" x14ac:dyDescent="0.2">
      <c r="A39" s="14"/>
      <c r="B39" s="15">
        <v>1286</v>
      </c>
      <c r="C39" s="15" t="s">
        <v>28</v>
      </c>
      <c r="D39" s="15" t="s">
        <v>29</v>
      </c>
      <c r="E39" s="16"/>
      <c r="F39" s="16">
        <v>5640</v>
      </c>
      <c r="G39" s="16">
        <f t="shared" si="0"/>
        <v>8058</v>
      </c>
    </row>
    <row r="40" spans="1:7" x14ac:dyDescent="0.2">
      <c r="A40" s="14"/>
      <c r="B40" s="15">
        <v>38</v>
      </c>
      <c r="C40" s="15" t="s">
        <v>30</v>
      </c>
      <c r="D40" s="15" t="s">
        <v>31</v>
      </c>
      <c r="E40" s="16"/>
      <c r="F40" s="16">
        <v>1000</v>
      </c>
      <c r="G40" s="16">
        <f t="shared" si="0"/>
        <v>7058</v>
      </c>
    </row>
    <row r="41" spans="1:7" x14ac:dyDescent="0.2">
      <c r="A41" s="14"/>
      <c r="B41" s="15">
        <v>1287</v>
      </c>
      <c r="C41" s="15" t="s">
        <v>28</v>
      </c>
      <c r="D41" s="15" t="s">
        <v>32</v>
      </c>
      <c r="E41" s="16"/>
      <c r="F41" s="16">
        <v>4800</v>
      </c>
      <c r="G41" s="16">
        <f t="shared" si="0"/>
        <v>2258</v>
      </c>
    </row>
    <row r="42" spans="1:7" x14ac:dyDescent="0.2">
      <c r="A42" s="14">
        <v>46160</v>
      </c>
      <c r="B42" s="15">
        <v>3539746</v>
      </c>
      <c r="C42" s="15" t="s">
        <v>19</v>
      </c>
      <c r="D42" s="15" t="s">
        <v>36</v>
      </c>
      <c r="E42" s="16">
        <v>66775</v>
      </c>
      <c r="F42" s="16"/>
      <c r="G42" s="16">
        <f t="shared" si="0"/>
        <v>69033</v>
      </c>
    </row>
    <row r="43" spans="1:7" x14ac:dyDescent="0.2">
      <c r="A43" s="14">
        <v>46161</v>
      </c>
      <c r="B43" s="15">
        <v>2935</v>
      </c>
      <c r="C43" s="15" t="s">
        <v>21</v>
      </c>
      <c r="D43" s="15" t="s">
        <v>37</v>
      </c>
      <c r="E43" s="16"/>
      <c r="F43" s="16">
        <v>7210</v>
      </c>
      <c r="G43" s="16">
        <f t="shared" si="0"/>
        <v>61823</v>
      </c>
    </row>
    <row r="44" spans="1:7" x14ac:dyDescent="0.2">
      <c r="A44" s="14"/>
      <c r="B44" s="15">
        <v>3140</v>
      </c>
      <c r="C44" s="15" t="s">
        <v>23</v>
      </c>
      <c r="D44" s="15" t="s">
        <v>38</v>
      </c>
      <c r="E44" s="16"/>
      <c r="F44" s="16">
        <v>11580</v>
      </c>
      <c r="G44" s="16">
        <f t="shared" si="0"/>
        <v>50243</v>
      </c>
    </row>
    <row r="45" spans="1:7" x14ac:dyDescent="0.2">
      <c r="A45" s="14"/>
      <c r="B45" s="15">
        <v>3141</v>
      </c>
      <c r="C45" s="15" t="s">
        <v>23</v>
      </c>
      <c r="D45" s="15" t="s">
        <v>38</v>
      </c>
      <c r="E45" s="16"/>
      <c r="F45" s="16">
        <v>10320</v>
      </c>
      <c r="G45" s="16">
        <f t="shared" si="0"/>
        <v>39923</v>
      </c>
    </row>
    <row r="46" spans="1:7" x14ac:dyDescent="0.2">
      <c r="A46" s="14"/>
      <c r="B46" s="15">
        <v>1389</v>
      </c>
      <c r="C46" s="15" t="s">
        <v>25</v>
      </c>
      <c r="D46" s="15" t="s">
        <v>26</v>
      </c>
      <c r="E46" s="16"/>
      <c r="F46" s="16">
        <v>4235</v>
      </c>
      <c r="G46" s="16">
        <f t="shared" si="0"/>
        <v>35688</v>
      </c>
    </row>
    <row r="47" spans="1:7" x14ac:dyDescent="0.2">
      <c r="A47" s="14"/>
      <c r="B47" s="15">
        <v>1388</v>
      </c>
      <c r="C47" s="15" t="s">
        <v>25</v>
      </c>
      <c r="D47" s="15" t="s">
        <v>26</v>
      </c>
      <c r="E47" s="16"/>
      <c r="F47" s="16">
        <v>4835</v>
      </c>
      <c r="G47" s="16">
        <f t="shared" si="0"/>
        <v>30853</v>
      </c>
    </row>
    <row r="48" spans="1:7" x14ac:dyDescent="0.2">
      <c r="A48" s="14"/>
      <c r="B48" s="15">
        <v>40</v>
      </c>
      <c r="C48" s="15" t="s">
        <v>30</v>
      </c>
      <c r="D48" s="15" t="s">
        <v>31</v>
      </c>
      <c r="E48" s="16"/>
      <c r="F48" s="16">
        <v>1000</v>
      </c>
      <c r="G48" s="16">
        <f t="shared" si="0"/>
        <v>29853</v>
      </c>
    </row>
    <row r="49" spans="1:8" x14ac:dyDescent="0.2">
      <c r="A49" s="14"/>
      <c r="B49" s="15">
        <v>1289</v>
      </c>
      <c r="C49" s="15" t="s">
        <v>28</v>
      </c>
      <c r="D49" s="15" t="s">
        <v>29</v>
      </c>
      <c r="E49" s="16"/>
      <c r="F49" s="16">
        <v>5480</v>
      </c>
      <c r="G49" s="16">
        <f t="shared" si="0"/>
        <v>24373</v>
      </c>
    </row>
    <row r="50" spans="1:8" x14ac:dyDescent="0.2">
      <c r="A50" s="14"/>
      <c r="B50" s="15">
        <v>3539752</v>
      </c>
      <c r="C50" s="15" t="s">
        <v>19</v>
      </c>
      <c r="D50" s="15" t="s">
        <v>20</v>
      </c>
      <c r="E50" s="15">
        <v>75694</v>
      </c>
      <c r="F50" s="16"/>
      <c r="G50" s="16">
        <f t="shared" si="0"/>
        <v>100067</v>
      </c>
      <c r="H50" s="17"/>
    </row>
    <row r="51" spans="1:8" x14ac:dyDescent="0.2">
      <c r="A51" s="14"/>
      <c r="B51" s="15">
        <v>2938</v>
      </c>
      <c r="C51" s="15" t="s">
        <v>21</v>
      </c>
      <c r="D51" s="15" t="s">
        <v>22</v>
      </c>
      <c r="E51" s="16"/>
      <c r="F51" s="16">
        <v>7002.5</v>
      </c>
      <c r="G51" s="16">
        <f t="shared" si="0"/>
        <v>93064.5</v>
      </c>
      <c r="H51" s="18"/>
    </row>
    <row r="52" spans="1:8" x14ac:dyDescent="0.2">
      <c r="A52" s="14"/>
      <c r="B52" s="15">
        <v>3142</v>
      </c>
      <c r="C52" s="15" t="s">
        <v>23</v>
      </c>
      <c r="D52" s="15" t="s">
        <v>35</v>
      </c>
      <c r="E52" s="16"/>
      <c r="F52" s="16">
        <v>14910</v>
      </c>
      <c r="G52" s="16">
        <f t="shared" si="0"/>
        <v>78154.5</v>
      </c>
    </row>
    <row r="53" spans="1:8" x14ac:dyDescent="0.2">
      <c r="A53" s="14"/>
      <c r="B53" s="15">
        <v>3143</v>
      </c>
      <c r="C53" s="15" t="s">
        <v>23</v>
      </c>
      <c r="D53" s="15" t="s">
        <v>35</v>
      </c>
      <c r="E53" s="16"/>
      <c r="F53" s="16">
        <v>14460</v>
      </c>
      <c r="G53" s="16">
        <f t="shared" si="0"/>
        <v>63694.5</v>
      </c>
    </row>
    <row r="54" spans="1:8" x14ac:dyDescent="0.2">
      <c r="A54" s="14"/>
      <c r="B54" s="15">
        <v>3144</v>
      </c>
      <c r="C54" s="15" t="s">
        <v>23</v>
      </c>
      <c r="D54" s="15" t="s">
        <v>35</v>
      </c>
      <c r="E54" s="16"/>
      <c r="F54" s="16">
        <v>5040</v>
      </c>
      <c r="G54" s="16">
        <f t="shared" si="0"/>
        <v>58654.5</v>
      </c>
    </row>
    <row r="55" spans="1:8" x14ac:dyDescent="0.2">
      <c r="A55" s="14"/>
      <c r="B55" s="15">
        <v>1390</v>
      </c>
      <c r="C55" s="15" t="s">
        <v>25</v>
      </c>
      <c r="D55" s="15" t="s">
        <v>26</v>
      </c>
      <c r="E55" s="16"/>
      <c r="F55" s="16">
        <v>3595</v>
      </c>
      <c r="G55" s="16">
        <f t="shared" si="0"/>
        <v>55059.5</v>
      </c>
    </row>
    <row r="56" spans="1:8" x14ac:dyDescent="0.2">
      <c r="A56" s="14"/>
      <c r="B56" s="15">
        <v>1391</v>
      </c>
      <c r="C56" s="15" t="s">
        <v>25</v>
      </c>
      <c r="D56" s="15" t="s">
        <v>26</v>
      </c>
      <c r="E56" s="16"/>
      <c r="F56" s="16">
        <v>7185</v>
      </c>
      <c r="G56" s="16">
        <f t="shared" si="0"/>
        <v>47874.5</v>
      </c>
    </row>
    <row r="57" spans="1:8" x14ac:dyDescent="0.2">
      <c r="A57" s="14"/>
      <c r="B57" s="15">
        <v>1392</v>
      </c>
      <c r="C57" s="15" t="s">
        <v>25</v>
      </c>
      <c r="D57" s="15" t="s">
        <v>26</v>
      </c>
      <c r="E57" s="16"/>
      <c r="F57" s="16">
        <v>4389</v>
      </c>
      <c r="G57" s="16">
        <f t="shared" si="0"/>
        <v>43485.5</v>
      </c>
    </row>
    <row r="58" spans="1:8" x14ac:dyDescent="0.2">
      <c r="A58" s="14"/>
      <c r="B58" s="15">
        <v>1393</v>
      </c>
      <c r="C58" s="15" t="s">
        <v>25</v>
      </c>
      <c r="D58" s="15" t="s">
        <v>27</v>
      </c>
      <c r="E58" s="16"/>
      <c r="F58" s="16">
        <v>390</v>
      </c>
      <c r="G58" s="16">
        <f t="shared" si="0"/>
        <v>43095.5</v>
      </c>
    </row>
    <row r="59" spans="1:8" x14ac:dyDescent="0.2">
      <c r="A59" s="14"/>
      <c r="B59" s="15">
        <v>1290</v>
      </c>
      <c r="C59" s="15" t="s">
        <v>28</v>
      </c>
      <c r="D59" s="15" t="s">
        <v>29</v>
      </c>
      <c r="E59" s="16"/>
      <c r="F59" s="16">
        <v>6850</v>
      </c>
      <c r="G59" s="16">
        <f t="shared" si="0"/>
        <v>36245.5</v>
      </c>
    </row>
    <row r="60" spans="1:8" x14ac:dyDescent="0.2">
      <c r="A60" s="14"/>
      <c r="B60" s="15">
        <v>41</v>
      </c>
      <c r="C60" s="15" t="s">
        <v>30</v>
      </c>
      <c r="D60" s="15" t="s">
        <v>31</v>
      </c>
      <c r="E60" s="16"/>
      <c r="F60" s="16">
        <v>1000</v>
      </c>
      <c r="G60" s="16">
        <f t="shared" si="0"/>
        <v>35245.5</v>
      </c>
    </row>
    <row r="61" spans="1:8" x14ac:dyDescent="0.2">
      <c r="A61" s="14">
        <v>46168</v>
      </c>
      <c r="B61" s="15">
        <v>3539755</v>
      </c>
      <c r="C61" s="15" t="s">
        <v>19</v>
      </c>
      <c r="D61" s="15" t="s">
        <v>20</v>
      </c>
      <c r="E61" s="16">
        <v>87920</v>
      </c>
      <c r="F61" s="16"/>
      <c r="G61" s="16">
        <f t="shared" si="0"/>
        <v>123165.5</v>
      </c>
    </row>
    <row r="62" spans="1:8" x14ac:dyDescent="0.2">
      <c r="A62" s="14"/>
      <c r="B62" s="15">
        <v>3539753</v>
      </c>
      <c r="C62" s="15" t="s">
        <v>19</v>
      </c>
      <c r="D62" s="15" t="s">
        <v>20</v>
      </c>
      <c r="E62" s="16">
        <v>48625</v>
      </c>
      <c r="F62" s="16"/>
      <c r="G62" s="16">
        <f t="shared" ref="G62:G71" si="1">G61+E62-F62</f>
        <v>171790.5</v>
      </c>
    </row>
    <row r="63" spans="1:8" x14ac:dyDescent="0.2">
      <c r="A63" s="14"/>
      <c r="B63" s="15">
        <v>2943</v>
      </c>
      <c r="C63" s="15" t="s">
        <v>21</v>
      </c>
      <c r="D63" s="15" t="s">
        <v>22</v>
      </c>
      <c r="E63" s="16"/>
      <c r="F63" s="16">
        <v>6860</v>
      </c>
      <c r="G63" s="16">
        <f t="shared" si="1"/>
        <v>164930.5</v>
      </c>
    </row>
    <row r="64" spans="1:8" x14ac:dyDescent="0.2">
      <c r="A64" s="14"/>
      <c r="B64" s="15">
        <v>3146</v>
      </c>
      <c r="C64" s="15" t="s">
        <v>23</v>
      </c>
      <c r="D64" s="15" t="s">
        <v>35</v>
      </c>
      <c r="E64" s="16"/>
      <c r="F64" s="16">
        <v>11360</v>
      </c>
      <c r="G64" s="16">
        <f t="shared" si="1"/>
        <v>153570.5</v>
      </c>
    </row>
    <row r="65" spans="1:7" x14ac:dyDescent="0.2">
      <c r="A65" s="14"/>
      <c r="B65" s="15">
        <v>3147</v>
      </c>
      <c r="C65" s="15" t="s">
        <v>23</v>
      </c>
      <c r="D65" s="15" t="s">
        <v>35</v>
      </c>
      <c r="E65" s="16"/>
      <c r="F65" s="16">
        <v>10920</v>
      </c>
      <c r="G65" s="16">
        <f t="shared" si="1"/>
        <v>142650.5</v>
      </c>
    </row>
    <row r="66" spans="1:7" x14ac:dyDescent="0.2">
      <c r="A66" s="14"/>
      <c r="B66" s="15">
        <v>1394</v>
      </c>
      <c r="C66" s="15" t="s">
        <v>25</v>
      </c>
      <c r="D66" s="15" t="s">
        <v>26</v>
      </c>
      <c r="E66" s="16"/>
      <c r="F66" s="16">
        <v>3233</v>
      </c>
      <c r="G66" s="16">
        <f t="shared" si="1"/>
        <v>139417.5</v>
      </c>
    </row>
    <row r="67" spans="1:7" x14ac:dyDescent="0.2">
      <c r="A67" s="14"/>
      <c r="B67" s="15">
        <v>1395</v>
      </c>
      <c r="C67" s="15" t="s">
        <v>25</v>
      </c>
      <c r="D67" s="15" t="s">
        <v>26</v>
      </c>
      <c r="E67" s="16"/>
      <c r="F67" s="16">
        <v>5646</v>
      </c>
      <c r="G67" s="16">
        <f t="shared" si="1"/>
        <v>133771.5</v>
      </c>
    </row>
    <row r="68" spans="1:7" x14ac:dyDescent="0.2">
      <c r="A68" s="14"/>
      <c r="B68" s="15">
        <v>1291</v>
      </c>
      <c r="C68" s="15" t="s">
        <v>28</v>
      </c>
      <c r="D68" s="15" t="s">
        <v>29</v>
      </c>
      <c r="E68" s="16"/>
      <c r="F68" s="16">
        <v>5480</v>
      </c>
      <c r="G68" s="16">
        <f t="shared" si="1"/>
        <v>128291.5</v>
      </c>
    </row>
    <row r="69" spans="1:7" x14ac:dyDescent="0.2">
      <c r="A69" s="14"/>
      <c r="B69" s="15">
        <v>42</v>
      </c>
      <c r="C69" s="15" t="s">
        <v>39</v>
      </c>
      <c r="D69" s="15" t="s">
        <v>40</v>
      </c>
      <c r="E69" s="16"/>
      <c r="F69" s="16">
        <v>975</v>
      </c>
      <c r="G69" s="16">
        <f t="shared" si="1"/>
        <v>127316.5</v>
      </c>
    </row>
    <row r="70" spans="1:7" x14ac:dyDescent="0.2">
      <c r="A70" s="14"/>
      <c r="B70" s="15">
        <v>43</v>
      </c>
      <c r="C70" s="15" t="s">
        <v>30</v>
      </c>
      <c r="D70" s="15" t="s">
        <v>31</v>
      </c>
      <c r="E70" s="16"/>
      <c r="F70" s="16">
        <v>1000</v>
      </c>
      <c r="G70" s="16">
        <f t="shared" si="1"/>
        <v>126316.5</v>
      </c>
    </row>
    <row r="71" spans="1:7" x14ac:dyDescent="0.2">
      <c r="A71" s="14">
        <v>46171</v>
      </c>
      <c r="B71" s="15">
        <v>2946</v>
      </c>
      <c r="C71" s="15" t="s">
        <v>21</v>
      </c>
      <c r="D71" s="15" t="s">
        <v>22</v>
      </c>
      <c r="E71" s="16"/>
      <c r="F71" s="16">
        <v>6225</v>
      </c>
      <c r="G71" s="16">
        <f t="shared" si="1"/>
        <v>120091.5</v>
      </c>
    </row>
    <row r="72" spans="1:7" x14ac:dyDescent="0.2">
      <c r="A72" s="14"/>
      <c r="B72" s="15">
        <v>3148</v>
      </c>
      <c r="C72" s="15" t="s">
        <v>23</v>
      </c>
      <c r="D72" s="15" t="s">
        <v>35</v>
      </c>
      <c r="E72" s="16"/>
      <c r="F72" s="16">
        <v>13980</v>
      </c>
      <c r="G72" s="16">
        <f t="shared" ref="G72:G78" si="2">G71+E72-F72</f>
        <v>106111.5</v>
      </c>
    </row>
    <row r="73" spans="1:7" x14ac:dyDescent="0.2">
      <c r="A73" s="14"/>
      <c r="B73" s="15">
        <v>3149</v>
      </c>
      <c r="C73" s="15" t="s">
        <v>23</v>
      </c>
      <c r="D73" s="15" t="s">
        <v>35</v>
      </c>
      <c r="E73" s="16"/>
      <c r="F73" s="16">
        <v>14880</v>
      </c>
      <c r="G73" s="16">
        <f t="shared" si="2"/>
        <v>91231.5</v>
      </c>
    </row>
    <row r="74" spans="1:7" x14ac:dyDescent="0.2">
      <c r="A74" s="14"/>
      <c r="B74" s="15">
        <v>3150</v>
      </c>
      <c r="C74" s="15" t="s">
        <v>23</v>
      </c>
      <c r="D74" s="15" t="s">
        <v>35</v>
      </c>
      <c r="E74" s="16"/>
      <c r="F74" s="16">
        <v>12300</v>
      </c>
      <c r="G74" s="16">
        <f t="shared" si="2"/>
        <v>78931.5</v>
      </c>
    </row>
    <row r="75" spans="1:7" x14ac:dyDescent="0.2">
      <c r="A75" s="14"/>
      <c r="B75" s="15">
        <v>1396</v>
      </c>
      <c r="C75" s="15" t="s">
        <v>25</v>
      </c>
      <c r="D75" s="15" t="s">
        <v>26</v>
      </c>
      <c r="E75" s="16"/>
      <c r="F75" s="16">
        <v>6465</v>
      </c>
      <c r="G75" s="16">
        <f t="shared" si="2"/>
        <v>72466.5</v>
      </c>
    </row>
    <row r="76" spans="1:7" x14ac:dyDescent="0.2">
      <c r="A76" s="14"/>
      <c r="B76" s="15">
        <v>1397</v>
      </c>
      <c r="C76" s="15" t="s">
        <v>25</v>
      </c>
      <c r="D76" s="15" t="s">
        <v>26</v>
      </c>
      <c r="E76" s="16"/>
      <c r="F76" s="16">
        <v>7305</v>
      </c>
      <c r="G76" s="16">
        <f t="shared" si="2"/>
        <v>65161.5</v>
      </c>
    </row>
    <row r="77" spans="1:7" x14ac:dyDescent="0.2">
      <c r="A77" s="14"/>
      <c r="B77" s="15">
        <v>1398</v>
      </c>
      <c r="C77" s="15" t="s">
        <v>25</v>
      </c>
      <c r="D77" s="15" t="s">
        <v>26</v>
      </c>
      <c r="E77" s="16"/>
      <c r="F77" s="16">
        <v>2720</v>
      </c>
      <c r="G77" s="16">
        <f t="shared" si="2"/>
        <v>62441.5</v>
      </c>
    </row>
    <row r="78" spans="1:7" x14ac:dyDescent="0.2">
      <c r="A78" s="14"/>
      <c r="B78" s="15">
        <v>1399</v>
      </c>
      <c r="C78" s="15" t="s">
        <v>25</v>
      </c>
      <c r="D78" s="15" t="s">
        <v>34</v>
      </c>
      <c r="E78" s="16"/>
      <c r="F78" s="16">
        <v>8500</v>
      </c>
      <c r="G78" s="16">
        <f t="shared" si="2"/>
        <v>53941.5</v>
      </c>
    </row>
    <row r="79" spans="1:7" x14ac:dyDescent="0.2">
      <c r="A79" s="14"/>
      <c r="B79" s="15">
        <v>1400</v>
      </c>
      <c r="C79" s="15" t="s">
        <v>25</v>
      </c>
      <c r="D79" s="15" t="s">
        <v>27</v>
      </c>
      <c r="E79" s="16"/>
      <c r="F79" s="16">
        <v>520</v>
      </c>
      <c r="G79" s="16">
        <f>G78+E79-F79</f>
        <v>53421.5</v>
      </c>
    </row>
    <row r="80" spans="1:7" x14ac:dyDescent="0.2">
      <c r="A80" s="14"/>
      <c r="B80" s="15">
        <v>44</v>
      </c>
      <c r="C80" s="15" t="s">
        <v>30</v>
      </c>
      <c r="D80" s="15" t="s">
        <v>31</v>
      </c>
      <c r="E80" s="16"/>
      <c r="F80" s="16">
        <v>1000</v>
      </c>
      <c r="G80" s="16">
        <f>G79+E80-F80</f>
        <v>52421.5</v>
      </c>
    </row>
    <row r="81" spans="1:7" x14ac:dyDescent="0.2">
      <c r="A81" s="14"/>
      <c r="B81" s="15">
        <v>43</v>
      </c>
      <c r="C81" s="15" t="s">
        <v>42</v>
      </c>
      <c r="D81" s="15" t="s">
        <v>41</v>
      </c>
      <c r="E81" s="16"/>
      <c r="F81" s="16">
        <v>600</v>
      </c>
      <c r="G81" s="16">
        <f>G80+E81-F81</f>
        <v>51821.5</v>
      </c>
    </row>
    <row r="82" spans="1:7" x14ac:dyDescent="0.2">
      <c r="A82" s="14"/>
      <c r="B82" s="15">
        <v>1292</v>
      </c>
      <c r="C82" s="15" t="s">
        <v>28</v>
      </c>
      <c r="D82" s="15" t="s">
        <v>29</v>
      </c>
      <c r="E82" s="16"/>
      <c r="F82" s="16">
        <v>6850</v>
      </c>
      <c r="G82" s="16">
        <f>G81+E82-F82</f>
        <v>44971.5</v>
      </c>
    </row>
    <row r="83" spans="1:7" x14ac:dyDescent="0.2">
      <c r="A83" s="14"/>
      <c r="B83" s="15"/>
      <c r="C83" s="15"/>
      <c r="D83" s="15" t="s">
        <v>17</v>
      </c>
      <c r="E83" s="16"/>
      <c r="F83" s="16">
        <v>44971.5</v>
      </c>
      <c r="G83" s="16">
        <f>G82+E83-F83</f>
        <v>0</v>
      </c>
    </row>
    <row r="84" spans="1:7" x14ac:dyDescent="0.2">
      <c r="A84" s="15"/>
      <c r="B84" s="15"/>
      <c r="C84" s="15"/>
      <c r="D84" s="15"/>
      <c r="E84" s="16">
        <f>SUM(E9:E83)</f>
        <v>487920</v>
      </c>
      <c r="F84" s="16">
        <f>SUM(F12:F83)</f>
        <v>487920</v>
      </c>
      <c r="G84" s="16"/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8"/>
  <sheetViews>
    <sheetView tabSelected="1" topLeftCell="E1" workbookViewId="0">
      <selection activeCell="B30" sqref="B30"/>
    </sheetView>
  </sheetViews>
  <sheetFormatPr defaultColWidth="9.01171875" defaultRowHeight="15" x14ac:dyDescent="0.2"/>
  <cols>
    <col min="1" max="1" width="13.31640625" customWidth="1"/>
    <col min="2" max="2" width="15.33203125" customWidth="1"/>
    <col min="3" max="3" width="25.019531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>
        <v>46174</v>
      </c>
      <c r="B9" s="12"/>
      <c r="C9" s="12"/>
      <c r="D9" s="12" t="s">
        <v>18</v>
      </c>
      <c r="E9" s="16">
        <v>44971.5</v>
      </c>
      <c r="F9" s="13"/>
      <c r="G9" s="13">
        <f>E9</f>
        <v>44971.5</v>
      </c>
    </row>
    <row r="10" spans="1:7" x14ac:dyDescent="0.2">
      <c r="A10" s="14">
        <v>46175</v>
      </c>
      <c r="B10" s="15"/>
      <c r="C10" s="15" t="s">
        <v>21</v>
      </c>
      <c r="D10" s="15" t="s">
        <v>22</v>
      </c>
      <c r="E10" s="16"/>
      <c r="F10" s="16">
        <v>5600</v>
      </c>
      <c r="G10" s="16">
        <f>G9+E10-F10</f>
        <v>39371.5</v>
      </c>
    </row>
    <row r="11" spans="1:7" x14ac:dyDescent="0.2">
      <c r="A11" s="14"/>
      <c r="B11" s="15">
        <v>3151</v>
      </c>
      <c r="C11" s="15" t="s">
        <v>23</v>
      </c>
      <c r="D11" s="15" t="s">
        <v>24</v>
      </c>
      <c r="E11" s="16"/>
      <c r="F11" s="16">
        <v>13320</v>
      </c>
      <c r="G11" s="16">
        <f t="shared" ref="G11:G48" si="0">G10+E11-F11</f>
        <v>26051.5</v>
      </c>
    </row>
    <row r="12" spans="1:7" x14ac:dyDescent="0.2">
      <c r="A12" s="14"/>
      <c r="B12" s="15">
        <v>3152</v>
      </c>
      <c r="C12" s="15" t="s">
        <v>23</v>
      </c>
      <c r="D12" s="15" t="s">
        <v>24</v>
      </c>
      <c r="E12" s="16"/>
      <c r="F12" s="16">
        <v>13560</v>
      </c>
      <c r="G12" s="16">
        <f t="shared" si="0"/>
        <v>12491.5</v>
      </c>
    </row>
    <row r="13" spans="1:7" x14ac:dyDescent="0.2">
      <c r="A13" s="14"/>
      <c r="B13" s="15">
        <v>1401</v>
      </c>
      <c r="C13" s="15" t="s">
        <v>25</v>
      </c>
      <c r="D13" s="15" t="s">
        <v>26</v>
      </c>
      <c r="E13" s="16"/>
      <c r="F13" s="16">
        <v>8205</v>
      </c>
      <c r="G13" s="16">
        <f t="shared" si="0"/>
        <v>4286.5</v>
      </c>
    </row>
    <row r="14" spans="1:7" x14ac:dyDescent="0.2">
      <c r="A14" s="14"/>
      <c r="B14" s="15">
        <v>1402</v>
      </c>
      <c r="C14" s="15" t="s">
        <v>25</v>
      </c>
      <c r="D14" s="15" t="s">
        <v>26</v>
      </c>
      <c r="E14" s="16"/>
      <c r="F14" s="16">
        <v>1601</v>
      </c>
      <c r="G14" s="16">
        <f t="shared" si="0"/>
        <v>2685.5</v>
      </c>
    </row>
    <row r="15" spans="1:7" x14ac:dyDescent="0.2">
      <c r="A15" s="14"/>
      <c r="B15" s="15">
        <v>3539764</v>
      </c>
      <c r="C15" s="15" t="s">
        <v>19</v>
      </c>
      <c r="D15" s="15" t="s">
        <v>20</v>
      </c>
      <c r="E15" s="16">
        <v>44810</v>
      </c>
      <c r="F15" s="16"/>
      <c r="G15" s="16">
        <f t="shared" si="0"/>
        <v>47495.5</v>
      </c>
    </row>
    <row r="16" spans="1:7" x14ac:dyDescent="0.2">
      <c r="A16" s="14"/>
      <c r="B16" s="15">
        <v>1293</v>
      </c>
      <c r="C16" s="15" t="s">
        <v>28</v>
      </c>
      <c r="D16" s="15" t="s">
        <v>29</v>
      </c>
      <c r="E16" s="16"/>
      <c r="F16" s="16">
        <v>5480</v>
      </c>
      <c r="G16" s="16">
        <f t="shared" si="0"/>
        <v>42015.5</v>
      </c>
    </row>
    <row r="17" spans="1:7" x14ac:dyDescent="0.2">
      <c r="A17" s="14"/>
      <c r="B17" s="15">
        <v>45</v>
      </c>
      <c r="C17" s="15" t="s">
        <v>30</v>
      </c>
      <c r="D17" s="15" t="s">
        <v>31</v>
      </c>
      <c r="E17" s="16"/>
      <c r="F17" s="16">
        <v>1000</v>
      </c>
      <c r="G17" s="16">
        <f t="shared" si="0"/>
        <v>41015.5</v>
      </c>
    </row>
    <row r="18" spans="1:7" x14ac:dyDescent="0.2">
      <c r="A18" s="14"/>
      <c r="B18" s="15">
        <v>3539772</v>
      </c>
      <c r="C18" s="15" t="s">
        <v>19</v>
      </c>
      <c r="D18" s="15" t="s">
        <v>20</v>
      </c>
      <c r="E18" s="16">
        <v>44660</v>
      </c>
      <c r="F18" s="16"/>
      <c r="G18" s="16">
        <f t="shared" si="0"/>
        <v>85675.5</v>
      </c>
    </row>
    <row r="19" spans="1:7" x14ac:dyDescent="0.2">
      <c r="A19" s="14"/>
      <c r="B19" s="15"/>
      <c r="C19" s="15" t="s">
        <v>21</v>
      </c>
      <c r="D19" s="15" t="s">
        <v>22</v>
      </c>
      <c r="E19" s="16"/>
      <c r="F19" s="16">
        <v>7090</v>
      </c>
      <c r="G19" s="16">
        <f t="shared" si="0"/>
        <v>78585.5</v>
      </c>
    </row>
    <row r="20" spans="1:7" x14ac:dyDescent="0.2">
      <c r="A20" s="14"/>
      <c r="B20" s="15">
        <v>3155</v>
      </c>
      <c r="C20" s="15" t="s">
        <v>23</v>
      </c>
      <c r="D20" s="15" t="s">
        <v>24</v>
      </c>
      <c r="E20" s="16"/>
      <c r="F20" s="16">
        <v>12890</v>
      </c>
      <c r="G20" s="16">
        <f t="shared" si="0"/>
        <v>65695.5</v>
      </c>
    </row>
    <row r="21" spans="1:7" x14ac:dyDescent="0.2">
      <c r="A21" s="14"/>
      <c r="B21" s="15">
        <v>3157</v>
      </c>
      <c r="C21" s="15" t="s">
        <v>23</v>
      </c>
      <c r="D21" s="15" t="s">
        <v>24</v>
      </c>
      <c r="E21" s="16"/>
      <c r="F21" s="16">
        <v>14280</v>
      </c>
      <c r="G21" s="16">
        <f t="shared" si="0"/>
        <v>51415.5</v>
      </c>
    </row>
    <row r="22" spans="1:7" x14ac:dyDescent="0.2">
      <c r="A22" s="14"/>
      <c r="B22" s="15">
        <v>3158</v>
      </c>
      <c r="C22" s="15" t="s">
        <v>23</v>
      </c>
      <c r="D22" s="15" t="s">
        <v>24</v>
      </c>
      <c r="E22" s="16"/>
      <c r="F22" s="16">
        <v>13470</v>
      </c>
      <c r="G22" s="16">
        <f t="shared" si="0"/>
        <v>37945.5</v>
      </c>
    </row>
    <row r="23" spans="1:7" x14ac:dyDescent="0.2">
      <c r="A23" s="14"/>
      <c r="B23" s="15">
        <v>1403</v>
      </c>
      <c r="C23" s="15" t="s">
        <v>25</v>
      </c>
      <c r="D23" s="15" t="s">
        <v>26</v>
      </c>
      <c r="E23" s="16"/>
      <c r="F23" s="16">
        <v>6100</v>
      </c>
      <c r="G23" s="16">
        <f t="shared" si="0"/>
        <v>31845.5</v>
      </c>
    </row>
    <row r="24" spans="1:7" x14ac:dyDescent="0.2">
      <c r="A24" s="14"/>
      <c r="B24" s="15">
        <v>1404</v>
      </c>
      <c r="C24" s="15" t="s">
        <v>25</v>
      </c>
      <c r="D24" s="15" t="s">
        <v>26</v>
      </c>
      <c r="E24" s="16"/>
      <c r="F24" s="16">
        <v>6970</v>
      </c>
      <c r="G24" s="16">
        <f t="shared" si="0"/>
        <v>24875.5</v>
      </c>
    </row>
    <row r="25" spans="1:7" x14ac:dyDescent="0.2">
      <c r="A25" s="14"/>
      <c r="B25" s="15">
        <v>1406</v>
      </c>
      <c r="C25" s="15" t="s">
        <v>25</v>
      </c>
      <c r="D25" s="15" t="s">
        <v>26</v>
      </c>
      <c r="E25" s="16"/>
      <c r="F25" s="16">
        <v>595</v>
      </c>
      <c r="G25" s="16">
        <f t="shared" si="0"/>
        <v>24280.5</v>
      </c>
    </row>
    <row r="26" spans="1:7" x14ac:dyDescent="0.2">
      <c r="A26" s="14"/>
      <c r="B26" s="15">
        <v>1405</v>
      </c>
      <c r="C26" s="15" t="s">
        <v>25</v>
      </c>
      <c r="D26" s="15" t="s">
        <v>27</v>
      </c>
      <c r="E26" s="16"/>
      <c r="F26" s="16">
        <v>390</v>
      </c>
      <c r="G26" s="16">
        <f t="shared" si="0"/>
        <v>23890.5</v>
      </c>
    </row>
    <row r="27" spans="1:7" x14ac:dyDescent="0.2">
      <c r="A27" s="14"/>
      <c r="B27" s="15">
        <v>1405</v>
      </c>
      <c r="C27" s="15" t="s">
        <v>25</v>
      </c>
      <c r="D27" s="15" t="s">
        <v>34</v>
      </c>
      <c r="E27" s="16"/>
      <c r="F27" s="16">
        <v>14000</v>
      </c>
      <c r="G27" s="16">
        <f t="shared" si="0"/>
        <v>9890.5</v>
      </c>
    </row>
    <row r="28" spans="1:7" x14ac:dyDescent="0.2">
      <c r="A28" s="14"/>
      <c r="B28" s="15">
        <v>46</v>
      </c>
      <c r="C28" s="15" t="s">
        <v>30</v>
      </c>
      <c r="D28" s="15" t="s">
        <v>31</v>
      </c>
      <c r="E28" s="16"/>
      <c r="F28" s="16">
        <v>1000</v>
      </c>
      <c r="G28" s="16">
        <f t="shared" si="0"/>
        <v>8890.5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8890.5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8890.5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8890.5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8890.5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8890.5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8890.5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8890.5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8890.5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8890.5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8890.5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8890.5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8890.5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8890.5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8890.5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8890.5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8890.5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8890.5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8890.5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8890.5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8890.5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"/>
  <sheetViews>
    <sheetView workbookViewId="0">
      <selection activeCell="A6" sqref="A6:G6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JUNE!G48</f>
        <v>8890.5</v>
      </c>
      <c r="F9" s="13"/>
      <c r="G9" s="13">
        <f>E9</f>
        <v>8890.5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8890.5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8890.5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8890.5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8890.5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8890.5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8890.5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8890.5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8890.5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8890.5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8890.5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8890.5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8890.5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8890.5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8890.5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8890.5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8890.5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8890.5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8890.5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8890.5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8890.5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8890.5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8890.5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8890.5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8890.5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8890.5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8890.5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8890.5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8890.5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8890.5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8890.5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8890.5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8890.5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8890.5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8890.5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8890.5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8890.5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8890.5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8890.5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8890.5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workbookViewId="0">
      <selection activeCell="A6" sqref="A6:G6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JULY!G48</f>
        <v>8890.5</v>
      </c>
      <c r="F9" s="13"/>
      <c r="G9" s="13">
        <f>E9</f>
        <v>8890.5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8890.5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8890.5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8890.5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8890.5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8890.5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8890.5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8890.5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8890.5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8890.5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8890.5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8890.5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8890.5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8890.5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8890.5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8890.5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8890.5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8890.5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8890.5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8890.5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8890.5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8890.5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8890.5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8890.5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8890.5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8890.5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8890.5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8890.5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8890.5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8890.5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8890.5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8890.5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8890.5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8890.5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8890.5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8890.5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8890.5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8890.5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8890.5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8890.5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8"/>
  <sheetViews>
    <sheetView workbookViewId="0">
      <selection activeCell="A6" sqref="A6:G6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AUGUST!G48</f>
        <v>8890.5</v>
      </c>
      <c r="F9" s="13"/>
      <c r="G9" s="13">
        <f>E9</f>
        <v>8890.5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8890.5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8890.5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8890.5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8890.5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8890.5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8890.5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8890.5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8890.5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8890.5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8890.5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8890.5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8890.5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8890.5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8890.5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8890.5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8890.5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8890.5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8890.5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8890.5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8890.5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8890.5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8890.5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8890.5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8890.5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8890.5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8890.5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8890.5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8890.5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8890.5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8890.5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8890.5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8890.5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8890.5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8890.5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8890.5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8890.5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8890.5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8890.5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8890.5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8"/>
  <sheetViews>
    <sheetView workbookViewId="0">
      <selection activeCell="A6" sqref="A6:G6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SEPTEMBER!G48</f>
        <v>8890.5</v>
      </c>
      <c r="F9" s="13"/>
      <c r="G9" s="13">
        <f>E9</f>
        <v>8890.5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8890.5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8890.5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8890.5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8890.5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8890.5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8890.5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8890.5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8890.5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8890.5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8890.5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8890.5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8890.5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8890.5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8890.5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8890.5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8890.5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8890.5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8890.5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8890.5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8890.5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8890.5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8890.5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8890.5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8890.5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8890.5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8890.5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8890.5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8890.5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8890.5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8890.5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8890.5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8890.5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8890.5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8890.5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8890.5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8890.5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8890.5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8890.5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8890.5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"/>
  <sheetViews>
    <sheetView workbookViewId="0">
      <selection activeCell="A6" sqref="A6:G6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18.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 t="s">
        <v>18</v>
      </c>
      <c r="E9" s="13">
        <f>OCTOBER!G48</f>
        <v>8890.5</v>
      </c>
      <c r="F9" s="13"/>
      <c r="G9" s="13">
        <f>E9</f>
        <v>8890.5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8890.5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8890.5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8890.5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8890.5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8890.5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8890.5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8890.5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8890.5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8890.5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8890.5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8890.5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8890.5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8890.5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8890.5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8890.5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8890.5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8890.5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8890.5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8890.5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8890.5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8890.5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8890.5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8890.5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8890.5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8890.5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8890.5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8890.5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8890.5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8890.5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8890.5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8890.5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8890.5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8890.5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8890.5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8890.5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8890.5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8890.5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8890.5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8890.5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8"/>
  <sheetViews>
    <sheetView workbookViewId="0">
      <selection activeCell="D17" sqref="D17"/>
    </sheetView>
  </sheetViews>
  <sheetFormatPr defaultColWidth="9.01171875" defaultRowHeight="15" x14ac:dyDescent="0.2"/>
  <cols>
    <col min="1" max="1" width="13.31640625" customWidth="1"/>
    <col min="2" max="2" width="19.1015625" customWidth="1"/>
    <col min="3" max="3" width="21.65625" customWidth="1"/>
    <col min="4" max="4" width="33.765625" customWidth="1"/>
    <col min="5" max="7" width="20.71484375" style="4" customWidth="1"/>
  </cols>
  <sheetData>
    <row r="1" spans="1:7" x14ac:dyDescent="0.2">
      <c r="A1" s="23" t="s">
        <v>0</v>
      </c>
      <c r="B1" s="23"/>
      <c r="C1" s="23"/>
      <c r="D1" s="23"/>
      <c r="E1" s="23"/>
      <c r="F1" s="23"/>
      <c r="G1" s="23"/>
    </row>
    <row r="3" spans="1:7" x14ac:dyDescent="0.2">
      <c r="A3" s="24" t="s">
        <v>1</v>
      </c>
      <c r="B3" s="24"/>
      <c r="C3" s="24"/>
      <c r="D3" s="24"/>
      <c r="E3" s="24"/>
      <c r="F3" s="24"/>
      <c r="G3" s="24"/>
    </row>
    <row r="4" spans="1:7" x14ac:dyDescent="0.2">
      <c r="A4" s="25" t="s">
        <v>2</v>
      </c>
      <c r="B4" s="25"/>
      <c r="C4" s="25"/>
      <c r="D4" s="25"/>
      <c r="E4" s="25"/>
      <c r="F4" s="25"/>
      <c r="G4" s="25"/>
    </row>
    <row r="5" spans="1:7" x14ac:dyDescent="0.2">
      <c r="A5" s="5"/>
      <c r="B5" s="5"/>
      <c r="C5" s="5"/>
      <c r="D5" s="5"/>
      <c r="E5" s="6"/>
      <c r="F5" s="6"/>
      <c r="G5" s="6"/>
    </row>
    <row r="6" spans="1:7" s="1" customFormat="1" x14ac:dyDescent="0.2">
      <c r="A6" s="26" t="s">
        <v>3</v>
      </c>
      <c r="B6" s="27"/>
      <c r="C6" s="27"/>
      <c r="D6" s="27" t="s">
        <v>4</v>
      </c>
      <c r="E6" s="27"/>
      <c r="F6" s="28" t="s">
        <v>5</v>
      </c>
      <c r="G6" s="29"/>
    </row>
    <row r="7" spans="1:7" s="2" customFormat="1" x14ac:dyDescent="0.2">
      <c r="A7" s="19" t="s">
        <v>6</v>
      </c>
      <c r="B7" s="20"/>
      <c r="C7" s="20"/>
      <c r="D7" s="20" t="s">
        <v>7</v>
      </c>
      <c r="E7" s="20"/>
      <c r="F7" s="21" t="s">
        <v>8</v>
      </c>
      <c r="G7" s="22"/>
    </row>
    <row r="8" spans="1:7" s="3" customFormat="1" ht="41.25" x14ac:dyDescent="0.2">
      <c r="A8" s="7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9" t="s">
        <v>14</v>
      </c>
      <c r="G8" s="10" t="s">
        <v>15</v>
      </c>
    </row>
    <row r="9" spans="1:7" x14ac:dyDescent="0.2">
      <c r="A9" s="11"/>
      <c r="B9" s="12"/>
      <c r="C9" s="12"/>
      <c r="D9" s="12"/>
      <c r="E9" s="13"/>
      <c r="F9" s="13"/>
      <c r="G9" s="13">
        <f>E9</f>
        <v>0</v>
      </c>
    </row>
    <row r="10" spans="1:7" x14ac:dyDescent="0.2">
      <c r="A10" s="14"/>
      <c r="B10" s="15"/>
      <c r="C10" s="15"/>
      <c r="D10" s="15"/>
      <c r="E10" s="16"/>
      <c r="F10" s="16"/>
      <c r="G10" s="16">
        <f>G9+E10-F10</f>
        <v>0</v>
      </c>
    </row>
    <row r="11" spans="1:7" x14ac:dyDescent="0.2">
      <c r="A11" s="14"/>
      <c r="B11" s="15"/>
      <c r="C11" s="15"/>
      <c r="D11" s="15"/>
      <c r="E11" s="16"/>
      <c r="F11" s="16"/>
      <c r="G11" s="16">
        <f t="shared" ref="G11:G48" si="0">G10+E11-F11</f>
        <v>0</v>
      </c>
    </row>
    <row r="12" spans="1:7" x14ac:dyDescent="0.2">
      <c r="A12" s="14"/>
      <c r="B12" s="15"/>
      <c r="C12" s="15"/>
      <c r="D12" s="15"/>
      <c r="E12" s="16"/>
      <c r="F12" s="16"/>
      <c r="G12" s="16">
        <f t="shared" si="0"/>
        <v>0</v>
      </c>
    </row>
    <row r="13" spans="1:7" x14ac:dyDescent="0.2">
      <c r="A13" s="14"/>
      <c r="B13" s="15"/>
      <c r="C13" s="15"/>
      <c r="D13" s="15"/>
      <c r="E13" s="16"/>
      <c r="F13" s="16"/>
      <c r="G13" s="16">
        <f t="shared" si="0"/>
        <v>0</v>
      </c>
    </row>
    <row r="14" spans="1:7" x14ac:dyDescent="0.2">
      <c r="A14" s="14"/>
      <c r="B14" s="15"/>
      <c r="C14" s="15"/>
      <c r="D14" s="15"/>
      <c r="E14" s="16"/>
      <c r="F14" s="16"/>
      <c r="G14" s="16">
        <f t="shared" si="0"/>
        <v>0</v>
      </c>
    </row>
    <row r="15" spans="1:7" x14ac:dyDescent="0.2">
      <c r="A15" s="14"/>
      <c r="B15" s="15"/>
      <c r="C15" s="15"/>
      <c r="D15" s="15"/>
      <c r="E15" s="16"/>
      <c r="F15" s="16"/>
      <c r="G15" s="16">
        <f t="shared" si="0"/>
        <v>0</v>
      </c>
    </row>
    <row r="16" spans="1:7" x14ac:dyDescent="0.2">
      <c r="A16" s="14"/>
      <c r="B16" s="15"/>
      <c r="C16" s="15"/>
      <c r="D16" s="15"/>
      <c r="E16" s="16"/>
      <c r="F16" s="16"/>
      <c r="G16" s="16">
        <f t="shared" si="0"/>
        <v>0</v>
      </c>
    </row>
    <row r="17" spans="1:7" x14ac:dyDescent="0.2">
      <c r="A17" s="14"/>
      <c r="B17" s="15"/>
      <c r="C17" s="15"/>
      <c r="D17" s="15"/>
      <c r="E17" s="16"/>
      <c r="F17" s="16"/>
      <c r="G17" s="16">
        <f t="shared" si="0"/>
        <v>0</v>
      </c>
    </row>
    <row r="18" spans="1:7" x14ac:dyDescent="0.2">
      <c r="A18" s="14"/>
      <c r="B18" s="15"/>
      <c r="C18" s="15"/>
      <c r="D18" s="15"/>
      <c r="E18" s="16"/>
      <c r="F18" s="16"/>
      <c r="G18" s="16">
        <f t="shared" si="0"/>
        <v>0</v>
      </c>
    </row>
    <row r="19" spans="1:7" x14ac:dyDescent="0.2">
      <c r="A19" s="14"/>
      <c r="B19" s="15"/>
      <c r="C19" s="15"/>
      <c r="D19" s="15"/>
      <c r="E19" s="16"/>
      <c r="F19" s="16"/>
      <c r="G19" s="16">
        <f t="shared" si="0"/>
        <v>0</v>
      </c>
    </row>
    <row r="20" spans="1:7" x14ac:dyDescent="0.2">
      <c r="A20" s="14"/>
      <c r="B20" s="15"/>
      <c r="C20" s="15"/>
      <c r="D20" s="15"/>
      <c r="E20" s="16"/>
      <c r="F20" s="16"/>
      <c r="G20" s="16">
        <f t="shared" si="0"/>
        <v>0</v>
      </c>
    </row>
    <row r="21" spans="1:7" x14ac:dyDescent="0.2">
      <c r="A21" s="14"/>
      <c r="B21" s="15"/>
      <c r="C21" s="15"/>
      <c r="D21" s="15"/>
      <c r="E21" s="16"/>
      <c r="F21" s="16"/>
      <c r="G21" s="16">
        <f t="shared" si="0"/>
        <v>0</v>
      </c>
    </row>
    <row r="22" spans="1:7" x14ac:dyDescent="0.2">
      <c r="A22" s="14"/>
      <c r="B22" s="15"/>
      <c r="C22" s="15"/>
      <c r="D22" s="15"/>
      <c r="E22" s="16"/>
      <c r="F22" s="16"/>
      <c r="G22" s="16">
        <f t="shared" si="0"/>
        <v>0</v>
      </c>
    </row>
    <row r="23" spans="1:7" x14ac:dyDescent="0.2">
      <c r="A23" s="14"/>
      <c r="B23" s="15"/>
      <c r="C23" s="15"/>
      <c r="D23" s="15"/>
      <c r="E23" s="16"/>
      <c r="F23" s="16"/>
      <c r="G23" s="16">
        <f t="shared" si="0"/>
        <v>0</v>
      </c>
    </row>
    <row r="24" spans="1:7" x14ac:dyDescent="0.2">
      <c r="A24" s="14"/>
      <c r="B24" s="15"/>
      <c r="C24" s="15"/>
      <c r="D24" s="15"/>
      <c r="E24" s="16"/>
      <c r="F24" s="16"/>
      <c r="G24" s="16">
        <f t="shared" si="0"/>
        <v>0</v>
      </c>
    </row>
    <row r="25" spans="1:7" x14ac:dyDescent="0.2">
      <c r="A25" s="14"/>
      <c r="B25" s="15"/>
      <c r="C25" s="15"/>
      <c r="D25" s="15"/>
      <c r="E25" s="16"/>
      <c r="F25" s="16"/>
      <c r="G25" s="16">
        <f t="shared" si="0"/>
        <v>0</v>
      </c>
    </row>
    <row r="26" spans="1:7" x14ac:dyDescent="0.2">
      <c r="A26" s="14"/>
      <c r="B26" s="15"/>
      <c r="C26" s="15"/>
      <c r="D26" s="15"/>
      <c r="E26" s="16"/>
      <c r="F26" s="16"/>
      <c r="G26" s="16">
        <f t="shared" si="0"/>
        <v>0</v>
      </c>
    </row>
    <row r="27" spans="1:7" x14ac:dyDescent="0.2">
      <c r="A27" s="14"/>
      <c r="B27" s="15"/>
      <c r="C27" s="15"/>
      <c r="D27" s="15"/>
      <c r="E27" s="16"/>
      <c r="F27" s="16"/>
      <c r="G27" s="16">
        <f t="shared" si="0"/>
        <v>0</v>
      </c>
    </row>
    <row r="28" spans="1:7" x14ac:dyDescent="0.2">
      <c r="A28" s="14"/>
      <c r="B28" s="15"/>
      <c r="C28" s="15"/>
      <c r="D28" s="15"/>
      <c r="E28" s="16"/>
      <c r="F28" s="16"/>
      <c r="G28" s="16">
        <f t="shared" si="0"/>
        <v>0</v>
      </c>
    </row>
    <row r="29" spans="1:7" x14ac:dyDescent="0.2">
      <c r="A29" s="14"/>
      <c r="B29" s="15"/>
      <c r="C29" s="15"/>
      <c r="D29" s="15"/>
      <c r="E29" s="16"/>
      <c r="F29" s="16"/>
      <c r="G29" s="16">
        <f t="shared" si="0"/>
        <v>0</v>
      </c>
    </row>
    <row r="30" spans="1:7" x14ac:dyDescent="0.2">
      <c r="A30" s="14"/>
      <c r="B30" s="15"/>
      <c r="C30" s="15"/>
      <c r="D30" s="15"/>
      <c r="E30" s="16"/>
      <c r="F30" s="16"/>
      <c r="G30" s="16">
        <f t="shared" si="0"/>
        <v>0</v>
      </c>
    </row>
    <row r="31" spans="1:7" x14ac:dyDescent="0.2">
      <c r="A31" s="14"/>
      <c r="B31" s="15"/>
      <c r="C31" s="15"/>
      <c r="D31" s="15"/>
      <c r="E31" s="16"/>
      <c r="F31" s="16"/>
      <c r="G31" s="16">
        <f t="shared" si="0"/>
        <v>0</v>
      </c>
    </row>
    <row r="32" spans="1:7" x14ac:dyDescent="0.2">
      <c r="A32" s="14"/>
      <c r="B32" s="15"/>
      <c r="C32" s="15"/>
      <c r="D32" s="15"/>
      <c r="E32" s="16"/>
      <c r="F32" s="16"/>
      <c r="G32" s="16">
        <f t="shared" si="0"/>
        <v>0</v>
      </c>
    </row>
    <row r="33" spans="1:7" x14ac:dyDescent="0.2">
      <c r="A33" s="14"/>
      <c r="B33" s="15"/>
      <c r="C33" s="15"/>
      <c r="D33" s="15"/>
      <c r="E33" s="16"/>
      <c r="F33" s="16"/>
      <c r="G33" s="16">
        <f t="shared" si="0"/>
        <v>0</v>
      </c>
    </row>
    <row r="34" spans="1:7" x14ac:dyDescent="0.2">
      <c r="A34" s="14"/>
      <c r="B34" s="15"/>
      <c r="C34" s="15"/>
      <c r="D34" s="15"/>
      <c r="E34" s="16"/>
      <c r="F34" s="16"/>
      <c r="G34" s="16">
        <f t="shared" si="0"/>
        <v>0</v>
      </c>
    </row>
    <row r="35" spans="1:7" x14ac:dyDescent="0.2">
      <c r="A35" s="14"/>
      <c r="B35" s="15"/>
      <c r="C35" s="15"/>
      <c r="D35" s="15"/>
      <c r="E35" s="16"/>
      <c r="F35" s="16"/>
      <c r="G35" s="16">
        <f t="shared" si="0"/>
        <v>0</v>
      </c>
    </row>
    <row r="36" spans="1:7" x14ac:dyDescent="0.2">
      <c r="A36" s="14"/>
      <c r="B36" s="15"/>
      <c r="C36" s="15"/>
      <c r="D36" s="15"/>
      <c r="E36" s="16"/>
      <c r="F36" s="16"/>
      <c r="G36" s="16">
        <f t="shared" si="0"/>
        <v>0</v>
      </c>
    </row>
    <row r="37" spans="1:7" x14ac:dyDescent="0.2">
      <c r="A37" s="14"/>
      <c r="B37" s="15"/>
      <c r="C37" s="15"/>
      <c r="D37" s="15"/>
      <c r="E37" s="16"/>
      <c r="F37" s="16"/>
      <c r="G37" s="16">
        <f t="shared" si="0"/>
        <v>0</v>
      </c>
    </row>
    <row r="38" spans="1:7" x14ac:dyDescent="0.2">
      <c r="A38" s="14"/>
      <c r="B38" s="15"/>
      <c r="C38" s="15"/>
      <c r="D38" s="15"/>
      <c r="E38" s="16"/>
      <c r="F38" s="16"/>
      <c r="G38" s="16">
        <f t="shared" si="0"/>
        <v>0</v>
      </c>
    </row>
    <row r="39" spans="1:7" x14ac:dyDescent="0.2">
      <c r="A39" s="14"/>
      <c r="B39" s="15"/>
      <c r="C39" s="15"/>
      <c r="D39" s="15"/>
      <c r="E39" s="16"/>
      <c r="F39" s="16"/>
      <c r="G39" s="16">
        <f t="shared" si="0"/>
        <v>0</v>
      </c>
    </row>
    <row r="40" spans="1:7" x14ac:dyDescent="0.2">
      <c r="A40" s="14"/>
      <c r="B40" s="15"/>
      <c r="C40" s="15"/>
      <c r="D40" s="15"/>
      <c r="E40" s="16"/>
      <c r="F40" s="16"/>
      <c r="G40" s="16">
        <f t="shared" si="0"/>
        <v>0</v>
      </c>
    </row>
    <row r="41" spans="1:7" x14ac:dyDescent="0.2">
      <c r="A41" s="14"/>
      <c r="B41" s="15"/>
      <c r="C41" s="15"/>
      <c r="D41" s="15"/>
      <c r="E41" s="16"/>
      <c r="F41" s="16"/>
      <c r="G41" s="16">
        <f t="shared" si="0"/>
        <v>0</v>
      </c>
    </row>
    <row r="42" spans="1:7" x14ac:dyDescent="0.2">
      <c r="A42" s="14"/>
      <c r="B42" s="15"/>
      <c r="C42" s="15"/>
      <c r="D42" s="15"/>
      <c r="E42" s="16"/>
      <c r="F42" s="16"/>
      <c r="G42" s="16">
        <f t="shared" si="0"/>
        <v>0</v>
      </c>
    </row>
    <row r="43" spans="1:7" x14ac:dyDescent="0.2">
      <c r="A43" s="14"/>
      <c r="B43" s="15"/>
      <c r="C43" s="15"/>
      <c r="D43" s="15"/>
      <c r="E43" s="16"/>
      <c r="F43" s="16"/>
      <c r="G43" s="16">
        <f t="shared" si="0"/>
        <v>0</v>
      </c>
    </row>
    <row r="44" spans="1:7" x14ac:dyDescent="0.2">
      <c r="A44" s="14"/>
      <c r="B44" s="15"/>
      <c r="C44" s="15"/>
      <c r="D44" s="15"/>
      <c r="E44" s="16"/>
      <c r="F44" s="16"/>
      <c r="G44" s="16">
        <f t="shared" si="0"/>
        <v>0</v>
      </c>
    </row>
    <row r="45" spans="1:7" x14ac:dyDescent="0.2">
      <c r="A45" s="14"/>
      <c r="B45" s="15"/>
      <c r="C45" s="15"/>
      <c r="D45" s="15"/>
      <c r="E45" s="16"/>
      <c r="F45" s="16"/>
      <c r="G45" s="16">
        <f t="shared" si="0"/>
        <v>0</v>
      </c>
    </row>
    <row r="46" spans="1:7" x14ac:dyDescent="0.2">
      <c r="A46" s="14"/>
      <c r="B46" s="15"/>
      <c r="C46" s="15"/>
      <c r="D46" s="15"/>
      <c r="E46" s="16"/>
      <c r="F46" s="16"/>
      <c r="G46" s="16">
        <f t="shared" si="0"/>
        <v>0</v>
      </c>
    </row>
    <row r="47" spans="1:7" x14ac:dyDescent="0.2">
      <c r="A47" s="14"/>
      <c r="B47" s="15"/>
      <c r="C47" s="15"/>
      <c r="D47" s="15"/>
      <c r="E47" s="16"/>
      <c r="F47" s="16"/>
      <c r="G47" s="16">
        <f t="shared" si="0"/>
        <v>0</v>
      </c>
    </row>
    <row r="48" spans="1:7" x14ac:dyDescent="0.2">
      <c r="A48" s="14"/>
      <c r="B48" s="15"/>
      <c r="C48" s="15"/>
      <c r="D48" s="15" t="s">
        <v>17</v>
      </c>
      <c r="E48" s="16"/>
      <c r="F48" s="16"/>
      <c r="G48" s="16">
        <f t="shared" si="0"/>
        <v>0</v>
      </c>
    </row>
  </sheetData>
  <mergeCells count="9">
    <mergeCell ref="A7:C7"/>
    <mergeCell ref="D7:E7"/>
    <mergeCell ref="F7:G7"/>
    <mergeCell ref="A1:G1"/>
    <mergeCell ref="A3:G3"/>
    <mergeCell ref="A4:G4"/>
    <mergeCell ref="A6:C6"/>
    <mergeCell ref="D6:E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DBFDH ACCOUNTING</dc:creator>
  <cp:lastModifiedBy>Elaine Justina Abriol</cp:lastModifiedBy>
  <dcterms:created xsi:type="dcterms:W3CDTF">2026-05-14T02:43:00Z</dcterms:created>
  <dcterms:modified xsi:type="dcterms:W3CDTF">2026-06-09T04:45:44Z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67B7BC7FFE4642FFB2D19258EA176A49_12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